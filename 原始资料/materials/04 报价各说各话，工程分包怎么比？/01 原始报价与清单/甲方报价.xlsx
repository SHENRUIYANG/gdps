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0e816c871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甲方含税报价" sheetId="1" r:id="R2d8bb99022954625"/>
    <x:sheet xmlns:r="http://schemas.openxmlformats.org/officeDocument/2006/relationships" name="报价说明" sheetId="2" r:id="R814167c38932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019bf921b4c5a" /><Relationship Type="http://schemas.openxmlformats.org/officeDocument/2006/relationships/theme" Target="/xl/theme/theme1.xml" Id="R9265b93bc9de49e2" /><Relationship Type="http://schemas.openxmlformats.org/officeDocument/2006/relationships/sharedStrings" Target="/xl/sharedStrings.xml" Id="Rf8df4d979c3247eb" /><Relationship Type="http://schemas.openxmlformats.org/officeDocument/2006/relationships/worksheet" Target="/xl/worksheets/sheet1.xml" Id="R2d8bb99022954625" /><Relationship Type="http://schemas.openxmlformats.org/officeDocument/2006/relationships/worksheet" Target="/xl/worksheets/sheet2.xml" Id="R814167c38932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分项编号</x:v>
      </x:c>
      <x:c r="B1" s="6" t="str">
        <x:v>分项名称</x:v>
      </x:c>
      <x:c r="C1" s="6" t="str">
        <x:v>单位</x:v>
      </x:c>
      <x:c r="D1" s="6" t="str">
        <x:v>数量</x:v>
      </x:c>
      <x:c r="E1" s="6" t="str">
        <x:v>含税单价元</x:v>
      </x:c>
      <x:c r="F1" s="6" t="str">
        <x:v>税率</x:v>
      </x:c>
      <x:c r="G1" s="6" t="str">
        <x:v>含税金额元</x:v>
      </x:c>
    </x:row>
    <x:row r="2" ht="30" customHeight="1">
      <x:c r="A2" s="7" t="str">
        <x:v>C01</x:v>
      </x:c>
      <x:c r="B2" s="7" t="str">
        <x:v>控制点复核</x:v>
      </x:c>
      <x:c r="C2" s="7" t="str">
        <x:v>点</x:v>
      </x:c>
      <x:c r="D2" s="7" t="n">
        <x:v>12</x:v>
      </x:c>
      <x:c r="E2" s="8" t="n">
        <x:v>190.8</x:v>
      </x:c>
      <x:c r="F2" s="10" t="n">
        <x:v>0.06</x:v>
      </x:c>
      <x:c r="G2" s="8" t="n">
        <x:f>ROUND(D2*E2,2)</x:f>
        <x:v>2289.6</x:v>
      </x:c>
    </x:row>
    <x:row r="3" ht="30" customHeight="1">
      <x:c r="A3" s="3" t="str">
        <x:v>C02</x:v>
      </x:c>
      <x:c r="B3" s="3" t="str">
        <x:v>地形测绘</x:v>
      </x:c>
      <x:c r="C3" s="3" t="str">
        <x:v>亩</x:v>
      </x:c>
      <x:c r="D3" s="3" t="n">
        <x:v>20</x:v>
      </x:c>
      <x:c r="E3" s="9" t="n">
        <x:v>233.2</x:v>
      </x:c>
      <x:c r="F3" s="11" t="n">
        <x:v>0.06</x:v>
      </x:c>
      <x:c r="G3" s="9" t="n">
        <x:f>ROUND(D3*E3,2)</x:f>
        <x:v>4664</x:v>
      </x:c>
    </x:row>
    <x:row r="4" ht="30" customHeight="1">
      <x:c r="A4" s="7" t="str">
        <x:v>C03</x:v>
      </x:c>
      <x:c r="B4" s="7" t="str">
        <x:v>建筑物沉降监测</x:v>
      </x:c>
      <x:c r="C4" s="7" t="str">
        <x:v>点</x:v>
      </x:c>
      <x:c r="D4" s="7" t="n">
        <x:v>24</x:v>
      </x:c>
      <x:c r="E4" s="8" t="n">
        <x:v>95.4</x:v>
      </x:c>
      <x:c r="F4" s="10" t="n">
        <x:v>0.06</x:v>
      </x:c>
      <x:c r="G4" s="8" t="n">
        <x:f>ROUND(D4*E4,2)</x:f>
        <x:v>2289.6</x:v>
      </x:c>
    </x:row>
    <x:row r="5" ht="30" customHeight="1">
      <x:c r="A5" s="3" t="str">
        <x:v>C04</x:v>
      </x:c>
      <x:c r="B5" s="3" t="str">
        <x:v>基坑水平位移监测</x:v>
      </x:c>
      <x:c r="C5" s="3" t="str">
        <x:v>点</x:v>
      </x:c>
      <x:c r="D5" s="3" t="n">
        <x:v>18</x:v>
      </x:c>
      <x:c r="E5" s="9" t="n">
        <x:v>116.6</x:v>
      </x:c>
      <x:c r="F5" s="11" t="n">
        <x:v>0.06</x:v>
      </x:c>
      <x:c r="G5" s="9" t="n">
        <x:f>ROUND(D5*E5,2)</x:f>
        <x:v>2098.8</x:v>
      </x:c>
    </x:row>
    <x:row r="6" ht="30" customHeight="1">
      <x:c r="A6" s="7" t="str">
        <x:v>C05</x:v>
      </x:c>
      <x:c r="B6" s="7" t="str">
        <x:v>基坑竖向位移监测</x:v>
      </x:c>
      <x:c r="C6" s="7" t="str">
        <x:v>点</x:v>
      </x:c>
      <x:c r="D6" s="7" t="n">
        <x:v>18</x:v>
      </x:c>
      <x:c r="E6" s="8" t="n">
        <x:v>106</x:v>
      </x:c>
      <x:c r="F6" s="10" t="n">
        <x:v>0.06</x:v>
      </x:c>
      <x:c r="G6" s="8" t="n">
        <x:f>ROUND(D6*E6,2)</x:f>
        <x:v>1908</x:v>
      </x:c>
    </x:row>
    <x:row r="7" ht="30" customHeight="1">
      <x:c r="A7" s="3" t="str">
        <x:v>C06</x:v>
      </x:c>
      <x:c r="B7" s="3" t="str">
        <x:v>地下水位观测</x:v>
      </x:c>
      <x:c r="C7" s="3" t="str">
        <x:v>孔</x:v>
      </x:c>
      <x:c r="D7" s="3" t="n">
        <x:v>6</x:v>
      </x:c>
      <x:c r="E7" s="9" t="n">
        <x:v>159</x:v>
      </x:c>
      <x:c r="F7" s="11" t="n">
        <x:v>0.06</x:v>
      </x:c>
      <x:c r="G7" s="9" t="n">
        <x:f>ROUND(D7*E7,2)</x:f>
        <x:v>954</x:v>
      </x:c>
    </x:row>
    <x:row r="8" ht="30" customHeight="1">
      <x:c r="A8" s="7" t="str">
        <x:v>C07</x:v>
      </x:c>
      <x:c r="B8" s="7" t="str">
        <x:v>地表沉降监测</x:v>
      </x:c>
      <x:c r="C8" s="7" t="str">
        <x:v>点</x:v>
      </x:c>
      <x:c r="D8" s="7" t="n">
        <x:v>20</x:v>
      </x:c>
      <x:c r="E8" s="8" t="n">
        <x:v>84.8</x:v>
      </x:c>
      <x:c r="F8" s="10" t="n">
        <x:v>0.06</x:v>
      </x:c>
      <x:c r="G8" s="8" t="n">
        <x:f>ROUND(D8*E8,2)</x:f>
        <x:v>1696</x:v>
      </x:c>
    </x:row>
    <x:row r="9" ht="30" customHeight="1">
      <x:c r="A9" s="3" t="str">
        <x:v>C08</x:v>
      </x:c>
      <x:c r="B9" s="3" t="str">
        <x:v>低应变检测</x:v>
      </x:c>
      <x:c r="C9" s="3" t="str">
        <x:v>根</x:v>
      </x:c>
      <x:c r="D9" s="3" t="n">
        <x:v>60</x:v>
      </x:c>
      <x:c r="E9" s="9" t="n">
        <x:v>90.1</x:v>
      </x:c>
      <x:c r="F9" s="11" t="n">
        <x:v>0.06</x:v>
      </x:c>
      <x:c r="G9" s="9" t="n">
        <x:f>ROUND(D9*E9,2)</x:f>
        <x:v>5406</x:v>
      </x:c>
    </x:row>
    <x:row r="10" ht="30" customHeight="1">
      <x:c r="A10" s="7" t="str">
        <x:v>C09</x:v>
      </x:c>
      <x:c r="B10" s="7" t="str">
        <x:v>声波透射检测</x:v>
      </x:c>
      <x:c r="C10" s="7" t="str">
        <x:v>根</x:v>
      </x:c>
      <x:c r="D10" s="7" t="n">
        <x:v>12</x:v>
      </x:c>
      <x:c r="E10" s="8" t="n">
        <x:v>477</x:v>
      </x:c>
      <x:c r="F10" s="10" t="n">
        <x:v>0.06</x:v>
      </x:c>
      <x:c r="G10" s="8" t="n">
        <x:f>ROUND(D10*E10,2)</x:f>
        <x:v>5724</x:v>
      </x:c>
    </x:row>
    <x:row r="11" ht="30" customHeight="1">
      <x:c r="A11" s="3" t="str">
        <x:v>C10</x:v>
      </x:c>
      <x:c r="B11" s="3" t="str">
        <x:v>混凝土回弹检测</x:v>
      </x:c>
      <x:c r="C11" s="3" t="str">
        <x:v>构件</x:v>
      </x:c>
      <x:c r="D11" s="3" t="n">
        <x:v>30</x:v>
      </x:c>
      <x:c r="E11" s="9" t="n">
        <x:v>127.2</x:v>
      </x:c>
      <x:c r="F11" s="11" t="n">
        <x:v>0.06</x:v>
      </x:c>
      <x:c r="G11" s="9" t="n">
        <x:f>ROUND(D11*E11,2)</x:f>
        <x:v>3816</x:v>
      </x:c>
    </x:row>
    <x:row r="12" ht="30" customHeight="1">
      <x:c r="A12" s="7" t="str">
        <x:v>C11</x:v>
      </x:c>
      <x:c r="B12" s="7" t="str">
        <x:v>土工含水率试验</x:v>
      </x:c>
      <x:c r="C12" s="7" t="str">
        <x:v>组</x:v>
      </x:c>
      <x:c r="D12" s="7" t="n">
        <x:v>10</x:v>
      </x:c>
      <x:c r="E12" s="8" t="n">
        <x:v>63.6</x:v>
      </x:c>
      <x:c r="F12" s="10" t="n">
        <x:v>0.06</x:v>
      </x:c>
      <x:c r="G12" s="8" t="n">
        <x:f>ROUND(D12*E12,2)</x:f>
        <x:v>636</x:v>
      </x:c>
    </x:row>
    <x:row r="13" ht="30" customHeight="1">
      <x:c r="A13" s="3" t="str">
        <x:v>C12</x:v>
      </x:c>
      <x:c r="B13" s="3" t="str">
        <x:v>土工密度试验</x:v>
      </x:c>
      <x:c r="C13" s="3" t="str">
        <x:v>组</x:v>
      </x:c>
      <x:c r="D13" s="3" t="n">
        <x:v>10</x:v>
      </x:c>
      <x:c r="E13" s="9" t="n">
        <x:v>100.7</x:v>
      </x:c>
      <x:c r="F13" s="11" t="n">
        <x:v>0.06</x:v>
      </x:c>
      <x:c r="G13" s="9" t="n">
        <x:f>ROUND(D13*E13,2)</x:f>
        <x:v>1007</x:v>
      </x:c>
    </x:row>
    <x:row r="14" ht="30" customHeight="1">
      <x:c r="A14" s="7" t="str">
        <x:v>C13</x:v>
      </x:c>
      <x:c r="B14" s="7" t="str">
        <x:v>机械进出场</x:v>
      </x:c>
      <x:c r="C14" s="7" t="str">
        <x:v>项</x:v>
      </x:c>
      <x:c r="D14" s="7" t="n">
        <x:v>1</x:v>
      </x:c>
      <x:c r="E14" s="8" t="n">
        <x:v>3180</x:v>
      </x:c>
      <x:c r="F14" s="10" t="n">
        <x:v>0.06</x:v>
      </x:c>
      <x:c r="G14" s="8" t="n">
        <x:f>ROUND(D14*E14,2)</x:f>
        <x:v>3180</x:v>
      </x:c>
    </x:row>
    <x:row r="15" ht="30" customHeight="1">
      <x:c r="A15" s="3" t="str">
        <x:v>C14</x:v>
      </x:c>
      <x:c r="B15" s="3" t="str">
        <x:v>测量设备使用</x:v>
      </x:c>
      <x:c r="C15" s="3" t="str">
        <x:v>台班</x:v>
      </x:c>
      <x:c r="D15" s="3" t="n">
        <x:v>4</x:v>
      </x:c>
      <x:c r="E15" s="9" t="n">
        <x:v>742</x:v>
      </x:c>
      <x:c r="F15" s="11" t="n">
        <x:v>0.06</x:v>
      </x:c>
      <x:c r="G15" s="9" t="n">
        <x:f>ROUND(D15*E15,2)</x:f>
        <x:v>2968</x:v>
      </x:c>
    </x:row>
    <x:row r="16" ht="30" customHeight="1">
      <x:c r="A16" s="7" t="str">
        <x:v>C15</x:v>
      </x:c>
      <x:c r="B16" s="7" t="str">
        <x:v>成果整理与报告</x:v>
      </x:c>
      <x:c r="C16" s="7" t="str">
        <x:v>项</x:v>
      </x:c>
      <x:c r="D16" s="7" t="n">
        <x:v>1</x:v>
      </x:c>
      <x:c r="E16" s="8" t="n">
        <x:v>1908</x:v>
      </x:c>
      <x:c r="F16" s="10" t="n">
        <x:v>0.06</x:v>
      </x:c>
      <x:c r="G16" s="8" t="n">
        <x:f>ROUND(D16*E16,2)</x:f>
        <x:v>1908</x:v>
      </x:c>
    </x:row>
    <x:row r="17" ht="30" customHeight="1">
      <x:c r="A17" s="3" t="str">
        <x:v>合计</x:v>
      </x:c>
      <x:c r="B17" s="3" t="str"/>
      <x:c r="C17" s="3" t="str"/>
      <x:c r="D17" s="3"/>
      <x:c r="E17" s="3"/>
      <x:c r="F17" s="3"/>
      <x:c r="G17" s="9" t="n">
        <x:f>SUM(G2:G16)</x:f>
        <x:v>40545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</x:cols>
  <x:sheetData>
    <x:row r="1" ht="38" customHeight="1">
      <x:c r="A1" s="6" t="str">
        <x:v>项目</x:v>
      </x:c>
      <x:c r="B1" s="6" t="str">
        <x:v>内容</x:v>
      </x:c>
    </x:row>
    <x:row r="2" ht="30" customHeight="1">
      <x:c r="A2" s="7" t="str">
        <x:v>项目编号</x:v>
      </x:c>
      <x:c r="B2" s="7" t="str">
        <x:v>GC-017</x:v>
      </x:c>
    </x:row>
    <x:row r="3" ht="30" customHeight="1">
      <x:c r="A3" s="3" t="str">
        <x:v>报价单位</x:v>
      </x:c>
      <x:c r="B3" s="3" t="str">
        <x:v>甲方检测服务商</x:v>
      </x:c>
    </x:row>
    <x:row r="4" ht="30" customHeight="1">
      <x:c r="A4" s="7" t="str">
        <x:v>报价版本</x:v>
      </x:c>
      <x:c r="B4" s="7" t="str">
        <x:v>A-V1 / 2026-09-18</x:v>
      </x:c>
    </x:row>
    <x:row r="5" ht="42" customHeight="1">
      <x:c r="A5" s="3" t="str">
        <x:v>费用范围</x:v>
      </x:c>
      <x:c r="B5" s="3" t="str">
        <x:v>按统一清单报价；机械进出场已在C13列明</x:v>
      </x:c>
    </x:row>
  </x:sheetData>
  <x:pageMargins left="0.7" right="0.7" top="0.75" bottom="0.75" header="0.3" footer="0.3"/>
</x:worksheet>
</file>